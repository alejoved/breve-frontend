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aguir/Documents/github/breve-frontend/"/>
    </mc:Choice>
  </mc:AlternateContent>
  <xr:revisionPtr revIDLastSave="0" documentId="13_ncr:1_{E2E7A6AC-0F5F-9044-9C90-7B3CFCAED9CC}" xr6:coauthVersionLast="47" xr6:coauthVersionMax="47" xr10:uidLastSave="{00000000-0000-0000-0000-000000000000}"/>
  <bookViews>
    <workbookView xWindow="30240" yWindow="620" windowWidth="38400" windowHeight="19680" xr2:uid="{EE80EB6C-E79D-4642-A8AE-B6CCD4E04B65}"/>
  </bookViews>
  <sheets>
    <sheet name="Suscripcion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S4" i="1"/>
  <c r="S3" i="1"/>
  <c r="S2" i="1"/>
  <c r="Q3" i="1"/>
  <c r="Q4" i="1"/>
  <c r="Q2" i="1"/>
  <c r="P3" i="1"/>
  <c r="P4" i="1"/>
  <c r="P2" i="1"/>
  <c r="O4" i="1"/>
  <c r="N4" i="1"/>
  <c r="L3" i="1"/>
  <c r="L4" i="1"/>
  <c r="K4" i="1"/>
  <c r="O3" i="1"/>
  <c r="N3" i="1"/>
  <c r="K3" i="1"/>
  <c r="O2" i="1"/>
  <c r="N2" i="1"/>
  <c r="L2" i="1"/>
  <c r="K2" i="1"/>
</calcChain>
</file>

<file path=xl/sharedStrings.xml><?xml version="1.0" encoding="utf-8"?>
<sst xmlns="http://schemas.openxmlformats.org/spreadsheetml/2006/main" count="28" uniqueCount="28">
  <si>
    <t>WOMPI</t>
  </si>
  <si>
    <t>COMISION</t>
  </si>
  <si>
    <t>IVA</t>
  </si>
  <si>
    <t>GASTO</t>
  </si>
  <si>
    <t>DISPERSION</t>
  </si>
  <si>
    <t>NEGOCIO</t>
  </si>
  <si>
    <t>TRANSACCIONES</t>
  </si>
  <si>
    <t>MAS BREVE</t>
  </si>
  <si>
    <t>PEQUENOS</t>
  </si>
  <si>
    <t>MEDIANOS</t>
  </si>
  <si>
    <t>GRANDES</t>
  </si>
  <si>
    <t>TAMANO</t>
  </si>
  <si>
    <t>GYMUP</t>
  </si>
  <si>
    <t>SPALAB</t>
  </si>
  <si>
    <t>ACADEMIA</t>
  </si>
  <si>
    <t>SUSCRIPCION</t>
  </si>
  <si>
    <t>WOMPI - COMISION</t>
  </si>
  <si>
    <t>WOMPI - IVA</t>
  </si>
  <si>
    <t>MAS BREVE -FIJO</t>
  </si>
  <si>
    <t>WOMPI - FIJO</t>
  </si>
  <si>
    <t>FIJO</t>
  </si>
  <si>
    <t>MAS BREVE - IVA</t>
  </si>
  <si>
    <t>DISPERSION COMISION</t>
  </si>
  <si>
    <t>SUBTOTAL (U)</t>
  </si>
  <si>
    <t>LO QUE RECIBE EL NEGOCIO</t>
  </si>
  <si>
    <t>WOMPI CUENTA</t>
  </si>
  <si>
    <t>DISPERSION-FIJO</t>
  </si>
  <si>
    <t>DISPERSION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</si>
</sst>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3398-6C5B-0546-89CD-C93EC9F95E14}">
  <dimension ref="A1:T5"/>
  <sheetViews>
    <sheetView tabSelected="1" workbookViewId="0">
      <selection activeCell="C3" sqref="C3"/>
    </sheetView>
  </sheetViews>
  <sheetFormatPr baseColWidth="10" defaultRowHeight="16" x14ac:dyDescent="0.2"/>
  <cols>
    <col min="2" max="2" width="19.6640625" customWidth="1"/>
    <col min="3" max="3" width="15.83203125" customWidth="1"/>
    <col min="4" max="4" width="15.1640625" customWidth="1"/>
    <col min="8" max="8" width="15.33203125" bestFit="1" customWidth="1"/>
    <col min="9" max="10" width="15.33203125" customWidth="1"/>
    <col min="11" max="11" width="17.5" bestFit="1" customWidth="1"/>
    <col min="12" max="12" width="11" bestFit="1" customWidth="1"/>
    <col min="13" max="13" width="14.83203125" bestFit="1" customWidth="1"/>
    <col min="14" max="14" width="14.1640625" bestFit="1" customWidth="1"/>
    <col min="15" max="15" width="13" bestFit="1" customWidth="1"/>
    <col min="16" max="16" width="24.6640625" bestFit="1" customWidth="1"/>
    <col min="17" max="17" width="21.1640625" bestFit="1" customWidth="1"/>
    <col min="18" max="18" width="15.5" bestFit="1" customWidth="1"/>
    <col min="19" max="19" width="20.6640625" bestFit="1" customWidth="1"/>
    <col min="20" max="20" width="14.1640625" bestFit="1" customWidth="1"/>
  </cols>
  <sheetData>
    <row r="1" spans="1:20" x14ac:dyDescent="0.2">
      <c r="A1" s="1" t="s">
        <v>3</v>
      </c>
      <c r="B1" s="1" t="s">
        <v>20</v>
      </c>
      <c r="C1" s="1" t="s">
        <v>1</v>
      </c>
      <c r="D1" s="1" t="s">
        <v>2</v>
      </c>
      <c r="F1" s="1" t="s">
        <v>5</v>
      </c>
      <c r="G1" s="1" t="s">
        <v>11</v>
      </c>
      <c r="H1" s="1" t="s">
        <v>6</v>
      </c>
      <c r="I1" s="1" t="s">
        <v>15</v>
      </c>
      <c r="J1" s="1" t="s">
        <v>19</v>
      </c>
      <c r="K1" s="1" t="s">
        <v>16</v>
      </c>
      <c r="L1" s="1" t="s">
        <v>17</v>
      </c>
      <c r="M1" s="1" t="s">
        <v>18</v>
      </c>
      <c r="N1" s="1" t="s">
        <v>21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22</v>
      </c>
      <c r="T1" s="1" t="s">
        <v>27</v>
      </c>
    </row>
    <row r="2" spans="1:20" x14ac:dyDescent="0.2">
      <c r="A2" s="1" t="s">
        <v>0</v>
      </c>
      <c r="B2" s="1">
        <v>700</v>
      </c>
      <c r="C2" s="2">
        <v>2.65</v>
      </c>
      <c r="D2" s="4">
        <v>19</v>
      </c>
      <c r="F2" s="1" t="s">
        <v>12</v>
      </c>
      <c r="G2" s="1" t="s">
        <v>8</v>
      </c>
      <c r="H2" s="1">
        <v>50</v>
      </c>
      <c r="I2" s="1">
        <v>50000</v>
      </c>
      <c r="J2" s="1">
        <v>700</v>
      </c>
      <c r="K2" s="1">
        <f>+I2*C2/100</f>
        <v>1325</v>
      </c>
      <c r="L2" s="1">
        <f>+K2*D2/100</f>
        <v>251.75</v>
      </c>
      <c r="M2" s="1">
        <v>2000</v>
      </c>
      <c r="N2" s="1">
        <f>+M2*D3/100</f>
        <v>380</v>
      </c>
      <c r="O2" s="1">
        <f>+N2+M2+L2+K2+J2</f>
        <v>4656.75</v>
      </c>
      <c r="P2" s="1">
        <f>+I2-O2</f>
        <v>45343.25</v>
      </c>
      <c r="Q2" s="1">
        <f>+P2*H2</f>
        <v>2267162.5</v>
      </c>
      <c r="R2" s="1">
        <v>1849</v>
      </c>
      <c r="S2" s="1">
        <f>+Q2*C4/100</f>
        <v>9068.65</v>
      </c>
      <c r="T2" s="1"/>
    </row>
    <row r="3" spans="1:20" x14ac:dyDescent="0.2">
      <c r="A3" s="1" t="s">
        <v>7</v>
      </c>
      <c r="B3" s="1">
        <v>2000</v>
      </c>
      <c r="C3" s="3"/>
      <c r="D3" s="4">
        <v>19</v>
      </c>
      <c r="F3" s="1" t="s">
        <v>13</v>
      </c>
      <c r="G3" s="1" t="s">
        <v>9</v>
      </c>
      <c r="H3" s="1">
        <v>100</v>
      </c>
      <c r="I3" s="1">
        <v>80000</v>
      </c>
      <c r="J3" s="1">
        <v>700</v>
      </c>
      <c r="K3" s="1">
        <f>+I3*C2/100</f>
        <v>2120</v>
      </c>
      <c r="L3" s="1">
        <f>+K3*D2/100</f>
        <v>402.8</v>
      </c>
      <c r="M3" s="1">
        <v>2000</v>
      </c>
      <c r="N3" s="1">
        <f>+M3*D4/100</f>
        <v>380</v>
      </c>
      <c r="O3" s="1">
        <f>+N3+M3+L3+K3+J3</f>
        <v>5602.8</v>
      </c>
      <c r="P3" s="1">
        <f t="shared" ref="P3:P4" si="0">+I3-O3</f>
        <v>74397.2</v>
      </c>
      <c r="Q3" s="1">
        <f t="shared" ref="Q3:Q4" si="1">+P3*H3</f>
        <v>7439720</v>
      </c>
      <c r="R3" s="1">
        <v>1849</v>
      </c>
      <c r="S3" s="1">
        <f>+Q3*C4/100</f>
        <v>29758.880000000001</v>
      </c>
      <c r="T3" s="1"/>
    </row>
    <row r="4" spans="1:20" x14ac:dyDescent="0.2">
      <c r="A4" s="1" t="s">
        <v>4</v>
      </c>
      <c r="B4" s="1">
        <v>1849</v>
      </c>
      <c r="C4" s="2">
        <v>0.4</v>
      </c>
      <c r="D4" s="4">
        <v>19</v>
      </c>
      <c r="F4" s="1" t="s">
        <v>14</v>
      </c>
      <c r="G4" s="1" t="s">
        <v>10</v>
      </c>
      <c r="H4" s="1">
        <v>200</v>
      </c>
      <c r="I4" s="1">
        <v>120000</v>
      </c>
      <c r="J4" s="1">
        <v>700</v>
      </c>
      <c r="K4" s="1">
        <f>+I4*C2/100</f>
        <v>3180</v>
      </c>
      <c r="L4" s="1">
        <f>+K4*D2/100</f>
        <v>604.20000000000005</v>
      </c>
      <c r="M4" s="1">
        <v>2000</v>
      </c>
      <c r="N4" s="1">
        <f>+M4*D3/100</f>
        <v>380</v>
      </c>
      <c r="O4" s="1">
        <f>+N4+M4+L4+K4+J4</f>
        <v>6864.2</v>
      </c>
      <c r="P4" s="1">
        <f t="shared" si="0"/>
        <v>113135.8</v>
      </c>
      <c r="Q4" s="1">
        <f t="shared" si="1"/>
        <v>22627160</v>
      </c>
      <c r="R4" s="1">
        <v>1849</v>
      </c>
      <c r="S4" s="1">
        <f>+Q4*C4/100</f>
        <v>90508.64</v>
      </c>
      <c r="T4" s="1"/>
    </row>
    <row r="5" spans="1:20" x14ac:dyDescent="0.2">
      <c r="C5">
        <f>SUM(C2:C4)</f>
        <v>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Suscripciones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Alejandro Aguirre Gutierrez</dc:creator>
  <cp:lastModifiedBy>Jorge Alejandro Aguirre Gutierrez</cp:lastModifiedBy>
  <dcterms:created xsi:type="dcterms:W3CDTF">2025-12-09T12:06:42Z</dcterms:created>
  <dcterms:modified xsi:type="dcterms:W3CDTF">2025-12-09T13:21:58Z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2025-12-09T12:27:02Z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0b783e53-aa2c-44bc-8b46-57abfef5e02c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50, 3, 0, 1</vt:lpwstr>
  </property>
</Properties>
</file>